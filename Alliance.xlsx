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Music\"/>
    </mc:Choice>
  </mc:AlternateContent>
  <bookViews>
    <workbookView xWindow="0" yWindow="0" windowWidth="19200" windowHeight="7620"/>
  </bookViews>
  <sheets>
    <sheet name="% System Built" sheetId="1" r:id="rId1"/>
    <sheet name="EOS Adoption %" sheetId="2" r:id="rId2"/>
    <sheet name="Training Modules Built %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2" i="3"/>
</calcChain>
</file>

<file path=xl/sharedStrings.xml><?xml version="1.0" encoding="utf-8"?>
<sst xmlns="http://schemas.openxmlformats.org/spreadsheetml/2006/main" count="185" uniqueCount="93">
  <si>
    <t>Big Rock</t>
  </si>
  <si>
    <t>Owner</t>
  </si>
  <si>
    <t>Status</t>
  </si>
  <si>
    <t>Build KPI System</t>
  </si>
  <si>
    <t>John</t>
  </si>
  <si>
    <t>Completed</t>
  </si>
  <si>
    <t>Automate Reports</t>
  </si>
  <si>
    <t>Sarah</t>
  </si>
  <si>
    <t>Setup Meetings</t>
  </si>
  <si>
    <t>Alex</t>
  </si>
  <si>
    <t>In Progress</t>
  </si>
  <si>
    <t>Training SOPs</t>
  </si>
  <si>
    <t>Mary</t>
  </si>
  <si>
    <t>Not Started</t>
  </si>
  <si>
    <t>Team</t>
  </si>
  <si>
    <t>L10 Meetings</t>
  </si>
  <si>
    <t>Scorecard</t>
  </si>
  <si>
    <t>Rocks</t>
  </si>
  <si>
    <t>Issues List</t>
  </si>
  <si>
    <t>Team A</t>
  </si>
  <si>
    <t>Yes</t>
  </si>
  <si>
    <t>Team B</t>
  </si>
  <si>
    <t>No</t>
  </si>
  <si>
    <t>Team C</t>
  </si>
  <si>
    <t>Module</t>
  </si>
  <si>
    <t>Facility</t>
  </si>
  <si>
    <t>Safety 101</t>
  </si>
  <si>
    <t>House 1</t>
  </si>
  <si>
    <t>Fire Drill</t>
  </si>
  <si>
    <t>House 2</t>
  </si>
  <si>
    <t>Client Care</t>
  </si>
  <si>
    <t>House 3</t>
  </si>
  <si>
    <t>Emergency Response</t>
  </si>
  <si>
    <t>House 4</t>
  </si>
  <si>
    <t>House 5</t>
  </si>
  <si>
    <t>Medical Care</t>
  </si>
  <si>
    <t>Safety Audit</t>
  </si>
  <si>
    <t>House 6</t>
  </si>
  <si>
    <t>First Aid</t>
  </si>
  <si>
    <t>House 7</t>
  </si>
  <si>
    <t>Hygiene Training</t>
  </si>
  <si>
    <t>House 8</t>
  </si>
  <si>
    <t>Evacuation Plan</t>
  </si>
  <si>
    <t>House 9</t>
  </si>
  <si>
    <t>Risk Assessment</t>
  </si>
  <si>
    <t>House 10</t>
  </si>
  <si>
    <t>Security Check</t>
  </si>
  <si>
    <t>House 11</t>
  </si>
  <si>
    <t>Equipment Safety</t>
  </si>
  <si>
    <t>House 12</t>
  </si>
  <si>
    <t>Staff Training</t>
  </si>
  <si>
    <t>House 13</t>
  </si>
  <si>
    <t>Health Inspection</t>
  </si>
  <si>
    <t>House 14</t>
  </si>
  <si>
    <t>Fire Safety Review</t>
  </si>
  <si>
    <t>House 15</t>
  </si>
  <si>
    <t>Date</t>
  </si>
  <si>
    <t>Team D</t>
  </si>
  <si>
    <t>Team E</t>
  </si>
  <si>
    <t>Team F</t>
  </si>
  <si>
    <t>Team G</t>
  </si>
  <si>
    <t>Team H</t>
  </si>
  <si>
    <t>Team I</t>
  </si>
  <si>
    <t>Team J</t>
  </si>
  <si>
    <t>Team K</t>
  </si>
  <si>
    <t>Team L</t>
  </si>
  <si>
    <t>Team M</t>
  </si>
  <si>
    <t>Team N</t>
  </si>
  <si>
    <t>Team O</t>
  </si>
  <si>
    <t>Improve Dashboard</t>
  </si>
  <si>
    <t>David</t>
  </si>
  <si>
    <t>Update Policies</t>
  </si>
  <si>
    <t>Emma</t>
  </si>
  <si>
    <t>Staff Coaching</t>
  </si>
  <si>
    <t>Liam</t>
  </si>
  <si>
    <t>Budget Planning</t>
  </si>
  <si>
    <t>Olivia</t>
  </si>
  <si>
    <t>Client Onboarding</t>
  </si>
  <si>
    <t>Noah</t>
  </si>
  <si>
    <t>Quality Review</t>
  </si>
  <si>
    <t>Ava</t>
  </si>
  <si>
    <t>Process Mapping</t>
  </si>
  <si>
    <t>Ethan</t>
  </si>
  <si>
    <t>Tool Integration</t>
  </si>
  <si>
    <t>Mia</t>
  </si>
  <si>
    <t>Performance Review</t>
  </si>
  <si>
    <t>Lucas</t>
  </si>
  <si>
    <t>Risk Mitigation</t>
  </si>
  <si>
    <t>Sophia</t>
  </si>
  <si>
    <t>Compliance Check</t>
  </si>
  <si>
    <t>James</t>
  </si>
  <si>
    <t>Month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</si>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</sst>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164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D19" sqref="D19"/>
    </sheetView>
  </sheetViews>
  <sheetFormatPr defaultRowHeight="15" x14ac:dyDescent="0.25"/>
  <cols>
    <col min="1" max="1" width="22.42578125" customWidth="1"/>
    <col min="2" max="2" width="13.85546875" customWidth="1"/>
    <col min="3" max="3" width="21.28515625" customWidth="1"/>
    <col min="4" max="4" width="12.28515625" customWidth="1"/>
  </cols>
  <sheetData>
    <row r="1" spans="1:6" s="6" customFormat="1" x14ac:dyDescent="0.25">
      <c r="A1" s="5" t="s">
        <v>0</v>
      </c>
      <c r="B1" s="5" t="s">
        <v>1</v>
      </c>
      <c r="C1" s="5" t="s">
        <v>2</v>
      </c>
      <c r="D1" s="5" t="s">
        <v>56</v>
      </c>
      <c r="E1" s="6" t="s">
        <v>91</v>
      </c>
      <c r="F1" s="6" t="s">
        <v>92</v>
      </c>
    </row>
    <row r="2" spans="1:6" x14ac:dyDescent="0.25">
      <c r="A2" s="1" t="s">
        <v>3</v>
      </c>
      <c r="B2" s="1" t="s">
        <v>4</v>
      </c>
      <c r="C2" s="1" t="s">
        <v>5</v>
      </c>
      <c r="D2" s="4">
        <v>45910</v>
      </c>
      <c r="E2">
        <f>MONTH(D2)</f>
        <v>9</v>
      </c>
      <c r="F2" t="str">
        <f>"Week " &amp; WEEKNUM(D2)</f>
        <v>Week 37</v>
      </c>
    </row>
    <row r="3" spans="1:6" x14ac:dyDescent="0.25">
      <c r="A3" s="1" t="s">
        <v>6</v>
      </c>
      <c r="B3" s="1" t="s">
        <v>7</v>
      </c>
      <c r="C3" s="1" t="s">
        <v>5</v>
      </c>
      <c r="D3" s="4">
        <v>45894</v>
      </c>
      <c r="E3">
        <f t="shared" ref="E3:E16" si="0">MONTH(D3)</f>
        <v>8</v>
      </c>
      <c r="F3" t="str">
        <f t="shared" ref="F3:F16" si="1">"Week " &amp; WEEKNUM(D3)</f>
        <v>Week 35</v>
      </c>
    </row>
    <row r="4" spans="1:6" x14ac:dyDescent="0.25">
      <c r="A4" s="1" t="s">
        <v>8</v>
      </c>
      <c r="B4" s="1" t="s">
        <v>9</v>
      </c>
      <c r="C4" s="1" t="s">
        <v>10</v>
      </c>
      <c r="D4" s="4">
        <v>45929</v>
      </c>
      <c r="E4">
        <f t="shared" si="0"/>
        <v>9</v>
      </c>
      <c r="F4" t="str">
        <f t="shared" si="1"/>
        <v>Week 40</v>
      </c>
    </row>
    <row r="5" spans="1:6" x14ac:dyDescent="0.25">
      <c r="A5" s="1" t="s">
        <v>11</v>
      </c>
      <c r="B5" s="1" t="s">
        <v>12</v>
      </c>
      <c r="C5" s="1" t="s">
        <v>13</v>
      </c>
      <c r="D5" s="4">
        <v>45852</v>
      </c>
      <c r="E5">
        <f t="shared" si="0"/>
        <v>7</v>
      </c>
      <c r="F5" t="str">
        <f t="shared" si="1"/>
        <v>Week 29</v>
      </c>
    </row>
    <row r="6" spans="1:6" x14ac:dyDescent="0.25">
      <c r="A6" s="1" t="s">
        <v>69</v>
      </c>
      <c r="B6" s="1" t="s">
        <v>70</v>
      </c>
      <c r="C6" s="1" t="s">
        <v>5</v>
      </c>
      <c r="D6" s="4">
        <v>45874</v>
      </c>
      <c r="E6">
        <f t="shared" si="0"/>
        <v>8</v>
      </c>
      <c r="F6" t="str">
        <f t="shared" si="1"/>
        <v>Week 32</v>
      </c>
    </row>
    <row r="7" spans="1:6" x14ac:dyDescent="0.25">
      <c r="A7" s="1" t="s">
        <v>71</v>
      </c>
      <c r="B7" s="1" t="s">
        <v>72</v>
      </c>
      <c r="C7" s="1" t="s">
        <v>5</v>
      </c>
      <c r="D7" s="4">
        <v>45916</v>
      </c>
      <c r="E7">
        <f t="shared" si="0"/>
        <v>9</v>
      </c>
      <c r="F7" t="str">
        <f t="shared" si="1"/>
        <v>Week 38</v>
      </c>
    </row>
    <row r="8" spans="1:6" x14ac:dyDescent="0.25">
      <c r="A8" s="1" t="s">
        <v>73</v>
      </c>
      <c r="B8" s="1" t="s">
        <v>74</v>
      </c>
      <c r="C8" s="1" t="s">
        <v>10</v>
      </c>
      <c r="D8" s="4">
        <v>45931</v>
      </c>
      <c r="E8">
        <f t="shared" si="0"/>
        <v>10</v>
      </c>
      <c r="F8" t="str">
        <f t="shared" si="1"/>
        <v>Week 40</v>
      </c>
    </row>
    <row r="9" spans="1:6" x14ac:dyDescent="0.25">
      <c r="A9" s="1" t="s">
        <v>75</v>
      </c>
      <c r="B9" s="1" t="s">
        <v>76</v>
      </c>
      <c r="C9" s="1" t="s">
        <v>13</v>
      </c>
      <c r="D9" s="4">
        <v>45881</v>
      </c>
      <c r="E9">
        <f t="shared" si="0"/>
        <v>8</v>
      </c>
      <c r="F9" t="str">
        <f t="shared" si="1"/>
        <v>Week 33</v>
      </c>
    </row>
    <row r="10" spans="1:6" x14ac:dyDescent="0.25">
      <c r="A10" s="1" t="s">
        <v>77</v>
      </c>
      <c r="B10" s="1" t="s">
        <v>78</v>
      </c>
      <c r="C10" s="1" t="s">
        <v>5</v>
      </c>
      <c r="D10" s="4">
        <v>45921</v>
      </c>
      <c r="E10">
        <f t="shared" si="0"/>
        <v>9</v>
      </c>
      <c r="F10" t="str">
        <f t="shared" si="1"/>
        <v>Week 39</v>
      </c>
    </row>
    <row r="11" spans="1:6" x14ac:dyDescent="0.25">
      <c r="A11" s="1" t="s">
        <v>79</v>
      </c>
      <c r="B11" s="1" t="s">
        <v>80</v>
      </c>
      <c r="C11" s="1" t="s">
        <v>10</v>
      </c>
      <c r="D11" s="4">
        <v>45903</v>
      </c>
      <c r="E11">
        <f t="shared" si="0"/>
        <v>9</v>
      </c>
      <c r="F11" t="str">
        <f t="shared" si="1"/>
        <v>Week 36</v>
      </c>
    </row>
    <row r="12" spans="1:6" x14ac:dyDescent="0.25">
      <c r="A12" s="1" t="s">
        <v>81</v>
      </c>
      <c r="B12" s="1" t="s">
        <v>82</v>
      </c>
      <c r="C12" s="1" t="s">
        <v>13</v>
      </c>
      <c r="D12" s="4">
        <v>45866</v>
      </c>
      <c r="E12">
        <f t="shared" si="0"/>
        <v>7</v>
      </c>
      <c r="F12" t="str">
        <f t="shared" si="1"/>
        <v>Week 31</v>
      </c>
    </row>
    <row r="13" spans="1:6" x14ac:dyDescent="0.25">
      <c r="A13" s="1" t="s">
        <v>83</v>
      </c>
      <c r="B13" s="1" t="s">
        <v>84</v>
      </c>
      <c r="C13" s="1" t="s">
        <v>5</v>
      </c>
      <c r="D13" s="4">
        <v>45913</v>
      </c>
      <c r="E13">
        <f t="shared" si="0"/>
        <v>9</v>
      </c>
      <c r="F13" t="str">
        <f t="shared" si="1"/>
        <v>Week 37</v>
      </c>
    </row>
    <row r="14" spans="1:6" x14ac:dyDescent="0.25">
      <c r="A14" s="1" t="s">
        <v>85</v>
      </c>
      <c r="B14" s="1" t="s">
        <v>86</v>
      </c>
      <c r="C14" s="1" t="s">
        <v>5</v>
      </c>
      <c r="D14" s="4">
        <v>45932</v>
      </c>
      <c r="E14">
        <f t="shared" si="0"/>
        <v>10</v>
      </c>
      <c r="F14" t="str">
        <f t="shared" si="1"/>
        <v>Week 40</v>
      </c>
    </row>
    <row r="15" spans="1:6" x14ac:dyDescent="0.25">
      <c r="A15" s="1" t="s">
        <v>87</v>
      </c>
      <c r="B15" s="1" t="s">
        <v>88</v>
      </c>
      <c r="C15" s="1" t="s">
        <v>10</v>
      </c>
      <c r="D15" s="4">
        <v>45899</v>
      </c>
      <c r="E15">
        <f t="shared" si="0"/>
        <v>8</v>
      </c>
      <c r="F15" t="str">
        <f t="shared" si="1"/>
        <v>Week 35</v>
      </c>
    </row>
    <row r="16" spans="1:6" x14ac:dyDescent="0.25">
      <c r="A16" s="1" t="s">
        <v>89</v>
      </c>
      <c r="B16" s="1" t="s">
        <v>90</v>
      </c>
      <c r="C16" s="1" t="s">
        <v>13</v>
      </c>
      <c r="D16" s="4">
        <v>45925</v>
      </c>
      <c r="E16">
        <f t="shared" si="0"/>
        <v>9</v>
      </c>
      <c r="F16" t="str">
        <f t="shared" si="1"/>
        <v>Week 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H2" sqref="H2:H16"/>
    </sheetView>
  </sheetViews>
  <sheetFormatPr defaultRowHeight="15" x14ac:dyDescent="0.25"/>
  <cols>
    <col min="1" max="1" width="8.28515625" customWidth="1"/>
    <col min="2" max="2" width="14.7109375" customWidth="1"/>
    <col min="3" max="3" width="16.5703125" customWidth="1"/>
    <col min="4" max="4" width="12.5703125" customWidth="1"/>
    <col min="5" max="5" width="16.42578125" customWidth="1"/>
    <col min="6" max="6" width="14.140625" customWidth="1"/>
  </cols>
  <sheetData>
    <row r="1" spans="1:8" s="6" customFormat="1" x14ac:dyDescent="0.2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56</v>
      </c>
      <c r="G1" s="6" t="s">
        <v>91</v>
      </c>
      <c r="H1" s="6" t="s">
        <v>92</v>
      </c>
    </row>
    <row r="2" spans="1:8" x14ac:dyDescent="0.25">
      <c r="A2" s="1" t="s">
        <v>19</v>
      </c>
      <c r="B2" s="1" t="s">
        <v>20</v>
      </c>
      <c r="C2" s="1" t="s">
        <v>20</v>
      </c>
      <c r="D2" s="1" t="s">
        <v>20</v>
      </c>
      <c r="E2" s="1" t="s">
        <v>20</v>
      </c>
      <c r="F2" s="4">
        <v>45910</v>
      </c>
      <c r="G2">
        <f>MONTH(F2)</f>
        <v>9</v>
      </c>
      <c r="H2" t="str">
        <f>"Week " &amp; WEEKNUM(F2)</f>
        <v>Week 37</v>
      </c>
    </row>
    <row r="3" spans="1:8" x14ac:dyDescent="0.25">
      <c r="A3" s="1" t="s">
        <v>21</v>
      </c>
      <c r="B3" s="1" t="s">
        <v>20</v>
      </c>
      <c r="C3" s="1" t="s">
        <v>20</v>
      </c>
      <c r="D3" s="1" t="s">
        <v>22</v>
      </c>
      <c r="E3" s="1" t="s">
        <v>20</v>
      </c>
      <c r="F3" s="4">
        <v>45894</v>
      </c>
      <c r="G3">
        <f t="shared" ref="G3:G16" si="0">MONTH(F3)</f>
        <v>8</v>
      </c>
      <c r="H3" t="str">
        <f t="shared" ref="H3:H16" si="1">"Week " &amp; WEEKNUM(F3)</f>
        <v>Week 35</v>
      </c>
    </row>
    <row r="4" spans="1:8" x14ac:dyDescent="0.25">
      <c r="A4" s="1" t="s">
        <v>23</v>
      </c>
      <c r="B4" s="1" t="s">
        <v>20</v>
      </c>
      <c r="C4" s="1" t="s">
        <v>22</v>
      </c>
      <c r="D4" s="1" t="s">
        <v>22</v>
      </c>
      <c r="E4" s="1" t="s">
        <v>22</v>
      </c>
      <c r="F4" s="4">
        <v>45929</v>
      </c>
      <c r="G4">
        <f t="shared" si="0"/>
        <v>9</v>
      </c>
      <c r="H4" t="str">
        <f t="shared" si="1"/>
        <v>Week 40</v>
      </c>
    </row>
    <row r="5" spans="1:8" x14ac:dyDescent="0.25">
      <c r="A5" s="1" t="s">
        <v>57</v>
      </c>
      <c r="B5" s="1" t="s">
        <v>22</v>
      </c>
      <c r="C5" s="1" t="s">
        <v>20</v>
      </c>
      <c r="D5" s="1" t="s">
        <v>20</v>
      </c>
      <c r="E5" s="1" t="s">
        <v>20</v>
      </c>
      <c r="F5" s="4">
        <v>45852</v>
      </c>
      <c r="G5">
        <f t="shared" si="0"/>
        <v>7</v>
      </c>
      <c r="H5" t="str">
        <f t="shared" si="1"/>
        <v>Week 29</v>
      </c>
    </row>
    <row r="6" spans="1:8" x14ac:dyDescent="0.25">
      <c r="A6" s="1" t="s">
        <v>58</v>
      </c>
      <c r="B6" s="1" t="s">
        <v>20</v>
      </c>
      <c r="C6" s="1" t="s">
        <v>20</v>
      </c>
      <c r="D6" s="1" t="s">
        <v>20</v>
      </c>
      <c r="E6" s="1" t="s">
        <v>22</v>
      </c>
      <c r="F6" s="4">
        <v>45874</v>
      </c>
      <c r="G6">
        <f t="shared" si="0"/>
        <v>8</v>
      </c>
      <c r="H6" t="str">
        <f t="shared" si="1"/>
        <v>Week 32</v>
      </c>
    </row>
    <row r="7" spans="1:8" x14ac:dyDescent="0.25">
      <c r="A7" s="1" t="s">
        <v>59</v>
      </c>
      <c r="B7" s="1" t="s">
        <v>20</v>
      </c>
      <c r="C7" s="1" t="s">
        <v>22</v>
      </c>
      <c r="D7" s="1" t="s">
        <v>20</v>
      </c>
      <c r="E7" s="1" t="s">
        <v>20</v>
      </c>
      <c r="F7" s="4">
        <v>45916</v>
      </c>
      <c r="G7">
        <f t="shared" si="0"/>
        <v>9</v>
      </c>
      <c r="H7" t="str">
        <f t="shared" si="1"/>
        <v>Week 38</v>
      </c>
    </row>
    <row r="8" spans="1:8" x14ac:dyDescent="0.25">
      <c r="A8" s="1" t="s">
        <v>60</v>
      </c>
      <c r="B8" s="1" t="s">
        <v>22</v>
      </c>
      <c r="C8" s="1" t="s">
        <v>20</v>
      </c>
      <c r="D8" s="1" t="s">
        <v>22</v>
      </c>
      <c r="E8" s="1" t="s">
        <v>20</v>
      </c>
      <c r="F8" s="4">
        <v>45931</v>
      </c>
      <c r="G8">
        <f t="shared" si="0"/>
        <v>10</v>
      </c>
      <c r="H8" t="str">
        <f t="shared" si="1"/>
        <v>Week 40</v>
      </c>
    </row>
    <row r="9" spans="1:8" x14ac:dyDescent="0.25">
      <c r="A9" s="1" t="s">
        <v>61</v>
      </c>
      <c r="B9" s="1" t="s">
        <v>20</v>
      </c>
      <c r="C9" s="1" t="s">
        <v>20</v>
      </c>
      <c r="D9" s="1" t="s">
        <v>22</v>
      </c>
      <c r="E9" s="1" t="s">
        <v>22</v>
      </c>
      <c r="F9" s="4">
        <v>45881</v>
      </c>
      <c r="G9">
        <f t="shared" si="0"/>
        <v>8</v>
      </c>
      <c r="H9" t="str">
        <f t="shared" si="1"/>
        <v>Week 33</v>
      </c>
    </row>
    <row r="10" spans="1:8" x14ac:dyDescent="0.25">
      <c r="A10" s="1" t="s">
        <v>62</v>
      </c>
      <c r="B10" s="1" t="s">
        <v>20</v>
      </c>
      <c r="C10" s="1" t="s">
        <v>20</v>
      </c>
      <c r="D10" s="1" t="s">
        <v>20</v>
      </c>
      <c r="E10" s="1" t="s">
        <v>20</v>
      </c>
      <c r="F10" s="4">
        <v>45921</v>
      </c>
      <c r="G10">
        <f t="shared" si="0"/>
        <v>9</v>
      </c>
      <c r="H10" t="str">
        <f t="shared" si="1"/>
        <v>Week 39</v>
      </c>
    </row>
    <row r="11" spans="1:8" x14ac:dyDescent="0.25">
      <c r="A11" s="1" t="s">
        <v>63</v>
      </c>
      <c r="B11" s="1" t="s">
        <v>22</v>
      </c>
      <c r="C11" s="1" t="s">
        <v>20</v>
      </c>
      <c r="D11" s="1" t="s">
        <v>20</v>
      </c>
      <c r="E11" s="1" t="s">
        <v>22</v>
      </c>
      <c r="F11" s="4">
        <v>45903</v>
      </c>
      <c r="G11">
        <f t="shared" si="0"/>
        <v>9</v>
      </c>
      <c r="H11" t="str">
        <f t="shared" si="1"/>
        <v>Week 36</v>
      </c>
    </row>
    <row r="12" spans="1:8" x14ac:dyDescent="0.25">
      <c r="A12" s="1" t="s">
        <v>64</v>
      </c>
      <c r="B12" s="1" t="s">
        <v>20</v>
      </c>
      <c r="C12" s="1" t="s">
        <v>22</v>
      </c>
      <c r="D12" s="1" t="s">
        <v>22</v>
      </c>
      <c r="E12" s="1" t="s">
        <v>20</v>
      </c>
      <c r="F12" s="4">
        <v>45866</v>
      </c>
      <c r="G12">
        <f t="shared" si="0"/>
        <v>7</v>
      </c>
      <c r="H12" t="str">
        <f t="shared" si="1"/>
        <v>Week 31</v>
      </c>
    </row>
    <row r="13" spans="1:8" x14ac:dyDescent="0.25">
      <c r="A13" s="1" t="s">
        <v>65</v>
      </c>
      <c r="B13" s="1" t="s">
        <v>20</v>
      </c>
      <c r="C13" s="1" t="s">
        <v>20</v>
      </c>
      <c r="D13" s="1" t="s">
        <v>20</v>
      </c>
      <c r="E13" s="1" t="s">
        <v>20</v>
      </c>
      <c r="F13" s="4">
        <v>45913</v>
      </c>
      <c r="G13">
        <f t="shared" si="0"/>
        <v>9</v>
      </c>
      <c r="H13" t="str">
        <f t="shared" si="1"/>
        <v>Week 37</v>
      </c>
    </row>
    <row r="14" spans="1:8" x14ac:dyDescent="0.25">
      <c r="A14" s="1" t="s">
        <v>66</v>
      </c>
      <c r="B14" s="1" t="s">
        <v>22</v>
      </c>
      <c r="C14" s="1" t="s">
        <v>22</v>
      </c>
      <c r="D14" s="1" t="s">
        <v>20</v>
      </c>
      <c r="E14" s="1" t="s">
        <v>22</v>
      </c>
      <c r="F14" s="4">
        <v>45932</v>
      </c>
      <c r="G14">
        <f t="shared" si="0"/>
        <v>10</v>
      </c>
      <c r="H14" t="str">
        <f t="shared" si="1"/>
        <v>Week 40</v>
      </c>
    </row>
    <row r="15" spans="1:8" x14ac:dyDescent="0.25">
      <c r="A15" s="1" t="s">
        <v>67</v>
      </c>
      <c r="B15" s="1" t="s">
        <v>20</v>
      </c>
      <c r="C15" s="1" t="s">
        <v>20</v>
      </c>
      <c r="D15" s="1" t="s">
        <v>22</v>
      </c>
      <c r="E15" s="1" t="s">
        <v>20</v>
      </c>
      <c r="F15" s="4">
        <v>45899</v>
      </c>
      <c r="G15">
        <f t="shared" si="0"/>
        <v>8</v>
      </c>
      <c r="H15" t="str">
        <f t="shared" si="1"/>
        <v>Week 35</v>
      </c>
    </row>
    <row r="16" spans="1:8" x14ac:dyDescent="0.25">
      <c r="A16" s="1" t="s">
        <v>68</v>
      </c>
      <c r="B16" s="1" t="s">
        <v>22</v>
      </c>
      <c r="C16" s="1" t="s">
        <v>20</v>
      </c>
      <c r="D16" s="1" t="s">
        <v>20</v>
      </c>
      <c r="E16" s="1" t="s">
        <v>22</v>
      </c>
      <c r="F16" s="4">
        <v>45925</v>
      </c>
      <c r="G16">
        <f t="shared" si="0"/>
        <v>9</v>
      </c>
      <c r="H16" t="str">
        <f t="shared" si="1"/>
        <v>Week 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F19" sqref="F19"/>
    </sheetView>
  </sheetViews>
  <sheetFormatPr defaultRowHeight="15" x14ac:dyDescent="0.25"/>
  <cols>
    <col min="1" max="1" width="21.85546875" customWidth="1"/>
    <col min="2" max="2" width="21.7109375" customWidth="1"/>
    <col min="3" max="3" width="16.28515625" customWidth="1"/>
    <col min="4" max="4" width="12.5703125" customWidth="1"/>
  </cols>
  <sheetData>
    <row r="1" spans="1:9" s="6" customFormat="1" x14ac:dyDescent="0.25">
      <c r="A1" s="5" t="s">
        <v>24</v>
      </c>
      <c r="B1" s="5" t="s">
        <v>25</v>
      </c>
      <c r="C1" s="5" t="s">
        <v>2</v>
      </c>
      <c r="D1" s="7" t="s">
        <v>56</v>
      </c>
      <c r="E1" s="6" t="s">
        <v>91</v>
      </c>
      <c r="F1" s="6" t="s">
        <v>92</v>
      </c>
    </row>
    <row r="2" spans="1:9" x14ac:dyDescent="0.25">
      <c r="A2" s="1" t="s">
        <v>26</v>
      </c>
      <c r="B2" s="1" t="s">
        <v>27</v>
      </c>
      <c r="C2" s="1" t="s">
        <v>5</v>
      </c>
      <c r="D2" s="3">
        <v>45910</v>
      </c>
      <c r="E2">
        <f>MONTH(D2)</f>
        <v>9</v>
      </c>
      <c r="F2" t="str">
        <f>"Week " &amp; WEEKNUM(D2)</f>
        <v>Week 37</v>
      </c>
    </row>
    <row r="3" spans="1:9" x14ac:dyDescent="0.25">
      <c r="A3" s="1" t="s">
        <v>28</v>
      </c>
      <c r="B3" s="1" t="s">
        <v>29</v>
      </c>
      <c r="C3" s="1" t="s">
        <v>5</v>
      </c>
      <c r="D3" s="3">
        <v>45894</v>
      </c>
      <c r="E3">
        <f t="shared" ref="E3:E16" si="0">MONTH(D3)</f>
        <v>8</v>
      </c>
      <c r="F3" t="str">
        <f t="shared" ref="F3:F16" si="1">"Week " &amp; WEEKNUM(D3)</f>
        <v>Week 35</v>
      </c>
    </row>
    <row r="4" spans="1:9" x14ac:dyDescent="0.25">
      <c r="A4" s="1" t="s">
        <v>30</v>
      </c>
      <c r="B4" s="1" t="s">
        <v>31</v>
      </c>
      <c r="C4" s="1" t="s">
        <v>10</v>
      </c>
      <c r="D4" s="3">
        <v>45929</v>
      </c>
      <c r="E4">
        <f t="shared" si="0"/>
        <v>9</v>
      </c>
      <c r="F4" t="str">
        <f t="shared" si="1"/>
        <v>Week 40</v>
      </c>
    </row>
    <row r="5" spans="1:9" x14ac:dyDescent="0.25">
      <c r="A5" s="1" t="s">
        <v>32</v>
      </c>
      <c r="B5" s="1" t="s">
        <v>33</v>
      </c>
      <c r="C5" s="1" t="s">
        <v>13</v>
      </c>
      <c r="D5" s="3">
        <v>45852</v>
      </c>
      <c r="E5">
        <f t="shared" si="0"/>
        <v>7</v>
      </c>
      <c r="F5" t="str">
        <f t="shared" si="1"/>
        <v>Week 29</v>
      </c>
    </row>
    <row r="6" spans="1:9" x14ac:dyDescent="0.25">
      <c r="A6" s="1" t="s">
        <v>35</v>
      </c>
      <c r="B6" s="1" t="s">
        <v>34</v>
      </c>
      <c r="C6" s="1" t="s">
        <v>5</v>
      </c>
      <c r="D6" s="3">
        <v>45874</v>
      </c>
      <c r="E6">
        <f t="shared" si="0"/>
        <v>8</v>
      </c>
      <c r="F6" t="str">
        <f t="shared" si="1"/>
        <v>Week 32</v>
      </c>
    </row>
    <row r="7" spans="1:9" x14ac:dyDescent="0.25">
      <c r="A7" s="1" t="s">
        <v>36</v>
      </c>
      <c r="B7" s="1" t="s">
        <v>37</v>
      </c>
      <c r="C7" s="1" t="s">
        <v>5</v>
      </c>
      <c r="D7" s="3">
        <v>45916</v>
      </c>
      <c r="E7">
        <f t="shared" si="0"/>
        <v>9</v>
      </c>
      <c r="F7" t="str">
        <f t="shared" si="1"/>
        <v>Week 38</v>
      </c>
    </row>
    <row r="8" spans="1:9" x14ac:dyDescent="0.25">
      <c r="A8" s="1" t="s">
        <v>38</v>
      </c>
      <c r="B8" s="1" t="s">
        <v>39</v>
      </c>
      <c r="C8" s="1" t="s">
        <v>10</v>
      </c>
      <c r="D8" s="3">
        <v>45931</v>
      </c>
      <c r="E8">
        <f t="shared" si="0"/>
        <v>10</v>
      </c>
      <c r="F8" t="str">
        <f t="shared" si="1"/>
        <v>Week 40</v>
      </c>
    </row>
    <row r="9" spans="1:9" x14ac:dyDescent="0.25">
      <c r="A9" s="1" t="s">
        <v>40</v>
      </c>
      <c r="B9" s="1" t="s">
        <v>41</v>
      </c>
      <c r="C9" s="1" t="s">
        <v>13</v>
      </c>
      <c r="D9" s="3">
        <v>45881</v>
      </c>
      <c r="E9">
        <f t="shared" si="0"/>
        <v>8</v>
      </c>
      <c r="F9" t="str">
        <f t="shared" si="1"/>
        <v>Week 33</v>
      </c>
    </row>
    <row r="10" spans="1:9" x14ac:dyDescent="0.25">
      <c r="A10" s="1" t="s">
        <v>42</v>
      </c>
      <c r="B10" s="1" t="s">
        <v>43</v>
      </c>
      <c r="C10" s="1" t="s">
        <v>5</v>
      </c>
      <c r="D10" s="3">
        <v>45921</v>
      </c>
      <c r="E10">
        <f t="shared" si="0"/>
        <v>9</v>
      </c>
      <c r="F10" t="str">
        <f t="shared" si="1"/>
        <v>Week 39</v>
      </c>
      <c r="G10" s="2"/>
      <c r="H10" s="2"/>
      <c r="I10" s="2"/>
    </row>
    <row r="11" spans="1:9" x14ac:dyDescent="0.25">
      <c r="A11" s="1" t="s">
        <v>44</v>
      </c>
      <c r="B11" s="1" t="s">
        <v>45</v>
      </c>
      <c r="C11" s="1" t="s">
        <v>10</v>
      </c>
      <c r="D11" s="3">
        <v>45903</v>
      </c>
      <c r="E11">
        <f t="shared" si="0"/>
        <v>9</v>
      </c>
      <c r="F11" t="str">
        <f t="shared" si="1"/>
        <v>Week 36</v>
      </c>
      <c r="G11" s="1"/>
      <c r="H11" s="1"/>
      <c r="I11" s="1"/>
    </row>
    <row r="12" spans="1:9" x14ac:dyDescent="0.25">
      <c r="A12" s="1" t="s">
        <v>46</v>
      </c>
      <c r="B12" s="1" t="s">
        <v>47</v>
      </c>
      <c r="C12" s="1" t="s">
        <v>13</v>
      </c>
      <c r="D12" s="3">
        <v>45866</v>
      </c>
      <c r="E12">
        <f t="shared" si="0"/>
        <v>7</v>
      </c>
      <c r="F12" t="str">
        <f t="shared" si="1"/>
        <v>Week 31</v>
      </c>
      <c r="G12" s="1"/>
      <c r="H12" s="1"/>
      <c r="I12" s="1"/>
    </row>
    <row r="13" spans="1:9" x14ac:dyDescent="0.25">
      <c r="A13" s="1" t="s">
        <v>48</v>
      </c>
      <c r="B13" s="1" t="s">
        <v>49</v>
      </c>
      <c r="C13" s="1" t="s">
        <v>5</v>
      </c>
      <c r="D13" s="3">
        <v>45913</v>
      </c>
      <c r="E13">
        <f t="shared" si="0"/>
        <v>9</v>
      </c>
      <c r="F13" t="str">
        <f t="shared" si="1"/>
        <v>Week 37</v>
      </c>
      <c r="G13" s="1"/>
      <c r="H13" s="1"/>
      <c r="I13" s="1"/>
    </row>
    <row r="14" spans="1:9" x14ac:dyDescent="0.25">
      <c r="A14" s="1" t="s">
        <v>50</v>
      </c>
      <c r="B14" s="1" t="s">
        <v>51</v>
      </c>
      <c r="C14" s="1" t="s">
        <v>5</v>
      </c>
      <c r="D14" s="3">
        <v>45932</v>
      </c>
      <c r="E14">
        <f t="shared" si="0"/>
        <v>10</v>
      </c>
      <c r="F14" t="str">
        <f t="shared" si="1"/>
        <v>Week 40</v>
      </c>
      <c r="G14" s="1"/>
      <c r="H14" s="1"/>
      <c r="I14" s="1"/>
    </row>
    <row r="15" spans="1:9" x14ac:dyDescent="0.25">
      <c r="A15" s="1" t="s">
        <v>52</v>
      </c>
      <c r="B15" s="1" t="s">
        <v>53</v>
      </c>
      <c r="C15" s="1" t="s">
        <v>10</v>
      </c>
      <c r="D15" s="3">
        <v>45899</v>
      </c>
      <c r="E15">
        <f t="shared" si="0"/>
        <v>8</v>
      </c>
      <c r="F15" t="str">
        <f t="shared" si="1"/>
        <v>Week 35</v>
      </c>
      <c r="G15" s="1"/>
      <c r="H15" s="1"/>
      <c r="I15" s="1"/>
    </row>
    <row r="16" spans="1:9" x14ac:dyDescent="0.25">
      <c r="A16" s="1" t="s">
        <v>54</v>
      </c>
      <c r="B16" s="1" t="s">
        <v>55</v>
      </c>
      <c r="C16" s="1" t="s">
        <v>13</v>
      </c>
      <c r="D16" s="3">
        <v>45925</v>
      </c>
      <c r="E16">
        <f t="shared" si="0"/>
        <v>9</v>
      </c>
      <c r="F16" t="str">
        <f t="shared" si="1"/>
        <v>Week 39</v>
      </c>
      <c r="G16" s="1"/>
      <c r="H16" s="1"/>
      <c r="I16" s="1"/>
    </row>
    <row r="17" spans="7:9" x14ac:dyDescent="0.25">
      <c r="G17" s="1"/>
      <c r="H17" s="1"/>
      <c r="I17" s="1"/>
    </row>
    <row r="18" spans="7:9" x14ac:dyDescent="0.25">
      <c r="G18" s="1"/>
      <c r="H18" s="1"/>
      <c r="I18" s="1"/>
    </row>
    <row r="19" spans="7:9" x14ac:dyDescent="0.25">
      <c r="G19" s="1"/>
      <c r="H19" s="1"/>
      <c r="I19" s="1"/>
    </row>
    <row r="20" spans="7:9" x14ac:dyDescent="0.25">
      <c r="G20" s="1"/>
      <c r="H20" s="1"/>
      <c r="I20" s="1"/>
    </row>
    <row r="21" spans="7:9" x14ac:dyDescent="0.25">
      <c r="G21" s="1"/>
      <c r="H21" s="1"/>
      <c r="I21" s="1"/>
    </row>
    <row r="22" spans="7:9" x14ac:dyDescent="0.25">
      <c r="G22" s="1"/>
      <c r="H22" s="1"/>
      <c r="I22" s="1"/>
    </row>
    <row r="23" spans="7:9" x14ac:dyDescent="0.25">
      <c r="G23" s="1"/>
      <c r="H23" s="1"/>
      <c r="I23" s="1"/>
    </row>
    <row r="24" spans="7:9" x14ac:dyDescent="0.25">
      <c r="G24" s="1"/>
      <c r="H24" s="1"/>
      <c r="I24" s="1"/>
    </row>
    <row r="25" spans="7:9" x14ac:dyDescent="0.25">
      <c r="G25" s="1"/>
      <c r="H25" s="1"/>
      <c r="I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% System Built</vt:lpstr>
      <vt:lpstr>EOS Adoption %</vt:lpstr>
      <vt:lpstr>Training Modules Built %</vt:lpstr>
    </vt:vector>
  </TitlesOfParts>
  <Company>Moorche 30 DVDs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2025-10-05T07:20:25Z</dcterms:created>
  <dcterms:modified xsi:type="dcterms:W3CDTF">2025-10-06T07:30:54Z</dcterms:modified>
</cp:coreProperties>
</file>